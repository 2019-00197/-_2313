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C5BBEA04-B48B-DB03-FC8F-E18A6752861A}"/>
  <workbookPr codeName="ЭтаКнига" defaultThemeVersion="124226"/>
  <bookViews>
    <workbookView xWindow="-120" yWindow="-120" windowWidth="20730" windowHeight="11160"/>
  </bookViews>
  <sheets>
    <sheet name="явная схема" sheetId="2" r:id="rId1"/>
    <sheet name="неявная схема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AJ14" i="1"/>
  <c r="F19" i="1"/>
  <c r="C2" i="1" l="1"/>
  <c r="C4" i="1" l="1"/>
  <c r="C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L20" i="1" l="1"/>
  <c r="G4" i="1"/>
  <c r="H20" i="1"/>
  <c r="J20" i="1"/>
  <c r="M20" i="1"/>
  <c r="O20" i="1"/>
  <c r="Q20" i="1"/>
  <c r="S20" i="1"/>
  <c r="U20" i="1"/>
  <c r="W20" i="1"/>
  <c r="Y20" i="1"/>
  <c r="AA20" i="1"/>
  <c r="AC20" i="1"/>
  <c r="AE20" i="1"/>
  <c r="AG20" i="1"/>
  <c r="AI20" i="1"/>
  <c r="G20" i="1"/>
  <c r="I20" i="1"/>
  <c r="K20" i="1"/>
  <c r="N20" i="1"/>
  <c r="P20" i="1"/>
  <c r="R20" i="1"/>
  <c r="T20" i="1"/>
  <c r="V20" i="1"/>
  <c r="X20" i="1"/>
  <c r="Z20" i="1"/>
  <c r="AB20" i="1"/>
  <c r="AD20" i="1"/>
  <c r="AF20" i="1"/>
  <c r="AH20" i="1"/>
  <c r="F20" i="1"/>
  <c r="C17" i="1"/>
  <c r="C16" i="1"/>
  <c r="G19" i="1" l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9" i="1" l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<sst xmlns="http://schemas.openxmlformats.org/spreadsheetml/2006/main" count="33" uniqueCount="20">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</sst>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D8-466B-ADD7-10160786B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19200"/>
        <c:axId val="134420736"/>
      </c:scatterChart>
      <c:valAx>
        <c:axId val="1344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ru-RU"/>
          </a:p>
        </c:txPr>
        <c:crossAx val="134420736"/>
        <c:crosses val="autoZero"/>
        <c:crossBetween val="midCat"/>
      </c:valAx>
      <c:valAx>
        <c:axId val="13442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ru-RU"/>
          </a:p>
        </c:txPr>
        <c:crossAx val="1344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08480"/>
        <c:axId val="34710272"/>
      </c:scatterChart>
      <c:valAx>
        <c:axId val="3470848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4710272"/>
        <c:crosses val="autoZero"/>
        <c:crossBetween val="midCat"/>
      </c:valAx>
      <c:valAx>
        <c:axId val="3471027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470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59168"/>
        <c:axId val="149560704"/>
      </c:scatterChart>
      <c:valAx>
        <c:axId val="149559168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49560704"/>
        <c:crosses val="autoZero"/>
        <c:crossBetween val="midCat"/>
      </c:valAx>
      <c:valAx>
        <c:axId val="149560704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4955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11907</xdr:colOff>
      <xdr:row>16</xdr:row>
      <xdr:rowOff>47625</xdr:rowOff>
    </xdr:from>
    <xdr:ext cx="452438" cy="4167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3090387" y="2973705"/>
          <a:ext cx="452438" cy="41671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ru-RU" sz="1400" b="1"/>
        </a:p>
      </xdr:txBody>
    </xdr:sp>
    <xdr:clientData/>
  </xdr:oneCellAnchor>
  <xdr:twoCellAnchor>
    <xdr:from>
      <xdr:col>0</xdr:col>
      <xdr:colOff>609599</xdr:colOff>
      <xdr:row>16</xdr:row>
      <xdr:rowOff>14287</xdr:rowOff>
    </xdr:from>
    <xdr:to>
      <xdr:col>9</xdr:col>
      <xdr:colOff>304799</xdr:colOff>
      <xdr:row>33</xdr:row>
      <xdr:rowOff>180975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95679909-3514-473F-AEF5-05B85EF85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0.10668</cdr:x>
      <cdr:y>0.09334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1C9F4684-7019-4B8D-8652-1FACBDFF5B9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487722" cy="256054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0.86991</cdr:x>
      <cdr:y>0.87313</cdr:y>
    </cdr:from>
    <cdr:to>
      <cdr:x>0.98916</cdr:x>
      <cdr:y>0.98943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xmlns="" id="{B00D881F-AD17-4D94-BBFA-C31B393F60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648369" y="2973188"/>
          <a:ext cx="637226" cy="39600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257175</xdr:colOff>
      <xdr:row>23</xdr:row>
      <xdr:rowOff>176212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16</xdr:col>
      <xdr:colOff>0</xdr:colOff>
      <xdr:row>25</xdr:row>
      <xdr:rowOff>0</xdr:rowOff>
    </xdr:from>
    <xdr:to>
      <xdr:col>25</xdr:col>
      <xdr:colOff>212406</xdr:colOff>
      <xdr:row>45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47625</xdr:colOff>
      <xdr:row>25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abSelected="1" workbookViewId="0">
      <selection activeCell="M26" sqref="M26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3" spans="2:36" x14ac:dyDescent="0.25">
      <c r="B3" s="6" t="s">
        <v>0</v>
      </c>
      <c r="C3" s="6">
        <v>0.1</v>
      </c>
    </row>
    <row r="4" spans="2:36" x14ac:dyDescent="0.25">
      <c r="B4" s="6" t="s">
        <v>1</v>
      </c>
      <c r="C4" s="11">
        <f>C3/30</f>
        <v>3.3333333333333335E-3</v>
      </c>
    </row>
    <row r="5" spans="2:36" x14ac:dyDescent="0.25">
      <c r="B5" s="6" t="s">
        <v>2</v>
      </c>
      <c r="C5" s="11">
        <f>(C9*C8*C4^2)/(2*C10)</f>
        <v>0.4333333333333334</v>
      </c>
    </row>
    <row r="6" spans="2:36" x14ac:dyDescent="0.25">
      <c r="B6" s="6" t="s">
        <v>3</v>
      </c>
      <c r="C6" s="6">
        <v>60</v>
      </c>
      <c r="D6">
        <v>60.233333333333341</v>
      </c>
    </row>
    <row r="7" spans="2:36" x14ac:dyDescent="0.25">
      <c r="B7" s="6"/>
      <c r="C7" s="6"/>
    </row>
    <row r="8" spans="2:36" x14ac:dyDescent="0.25">
      <c r="B8" s="6" t="s">
        <v>4</v>
      </c>
      <c r="C8" s="6">
        <v>460</v>
      </c>
    </row>
    <row r="9" spans="2:36" x14ac:dyDescent="0.25">
      <c r="B9" s="6" t="s">
        <v>5</v>
      </c>
      <c r="C9" s="6">
        <v>7800</v>
      </c>
    </row>
    <row r="10" spans="2:36" x14ac:dyDescent="0.25">
      <c r="B10" s="6" t="s">
        <v>6</v>
      </c>
      <c r="C10" s="6">
        <v>46</v>
      </c>
    </row>
    <row r="11" spans="2:36" x14ac:dyDescent="0.25">
      <c r="B11" s="6"/>
      <c r="C11" s="6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6" t="s">
        <v>9</v>
      </c>
      <c r="C12" s="6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6" t="s">
        <v>10</v>
      </c>
      <c r="C13" s="6">
        <v>100</v>
      </c>
      <c r="E13" t="s">
        <v>7</v>
      </c>
      <c r="F13" s="4">
        <v>300</v>
      </c>
      <c r="G13" s="4">
        <v>280.34602914679897</v>
      </c>
      <c r="H13" s="4">
        <v>260.69205829359794</v>
      </c>
      <c r="I13" s="4">
        <v>241.69187227593491</v>
      </c>
      <c r="J13" s="4">
        <v>222.69168625827183</v>
      </c>
      <c r="K13" s="4">
        <v>204.95390631913148</v>
      </c>
      <c r="L13" s="4">
        <v>187.21612637999107</v>
      </c>
      <c r="M13" s="4">
        <v>171.26453784334268</v>
      </c>
      <c r="N13" s="4">
        <v>155.31294930669429</v>
      </c>
      <c r="O13" s="4">
        <v>141.55671337374599</v>
      </c>
      <c r="P13" s="4">
        <v>127.80047744079765</v>
      </c>
      <c r="Q13" s="4">
        <v>116.51671674932982</v>
      </c>
      <c r="R13" s="4">
        <v>105.23295605786197</v>
      </c>
      <c r="S13" s="4">
        <v>96.561989352755049</v>
      </c>
      <c r="T13" s="4">
        <v>87.891022647648128</v>
      </c>
      <c r="U13" s="4">
        <v>81.842538774051832</v>
      </c>
      <c r="V13" s="4">
        <v>75.794054900455549</v>
      </c>
      <c r="W13" s="4">
        <v>72.261187114604226</v>
      </c>
      <c r="X13" s="4">
        <v>68.728319328752917</v>
      </c>
      <c r="Y13" s="4">
        <v>67.506108522455037</v>
      </c>
      <c r="Z13" s="4">
        <v>66.283897716157142</v>
      </c>
      <c r="AA13" s="4">
        <v>67.088962026000345</v>
      </c>
      <c r="AB13" s="4">
        <v>67.894026335843549</v>
      </c>
      <c r="AC13" s="4">
        <v>70.383127200086093</v>
      </c>
      <c r="AD13" s="4">
        <v>72.872228064328638</v>
      </c>
      <c r="AE13" s="4">
        <v>76.658491877071754</v>
      </c>
      <c r="AF13" s="4">
        <v>80.444755689814855</v>
      </c>
      <c r="AG13" s="4">
        <v>85.111263870845988</v>
      </c>
      <c r="AH13" s="4">
        <v>89.777772051877108</v>
      </c>
      <c r="AI13" s="4">
        <v>94.888886025938547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280.34602914679897</v>
      </c>
      <c r="H15" s="4">
        <f t="shared" ref="H15:AI15" si="1">H13+(($C$10*$C$5)/($C$9*$C$8))*((I13-2*H13+G13)/($C$4^2))</f>
        <v>261.01895071136693</v>
      </c>
      <c r="I15" s="4">
        <f t="shared" si="1"/>
        <v>241.69187227593488</v>
      </c>
      <c r="J15" s="4">
        <f t="shared" si="1"/>
        <v>223.32288929753321</v>
      </c>
      <c r="K15" s="4">
        <f t="shared" si="1"/>
        <v>204.95390631913145</v>
      </c>
      <c r="L15" s="4">
        <f t="shared" si="1"/>
        <v>188.10922208123708</v>
      </c>
      <c r="M15" s="4">
        <f t="shared" si="1"/>
        <v>171.26453784334268</v>
      </c>
      <c r="N15" s="4">
        <f t="shared" si="1"/>
        <v>156.41062560854434</v>
      </c>
      <c r="O15" s="4">
        <f t="shared" si="1"/>
        <v>141.55671337374596</v>
      </c>
      <c r="P15" s="4">
        <f t="shared" si="1"/>
        <v>129.0367150615379</v>
      </c>
      <c r="Q15" s="4">
        <f t="shared" si="1"/>
        <v>116.51671674932982</v>
      </c>
      <c r="R15" s="4">
        <f t="shared" si="1"/>
        <v>106.53935305104244</v>
      </c>
      <c r="S15" s="4">
        <f t="shared" si="1"/>
        <v>96.561989352755049</v>
      </c>
      <c r="T15" s="4">
        <f t="shared" si="1"/>
        <v>89.202264063403447</v>
      </c>
      <c r="U15" s="4">
        <f t="shared" si="1"/>
        <v>81.842538774051832</v>
      </c>
      <c r="V15" s="4">
        <f t="shared" si="1"/>
        <v>77.051862944328036</v>
      </c>
      <c r="W15" s="4">
        <f t="shared" si="1"/>
        <v>72.26118711460424</v>
      </c>
      <c r="X15" s="4">
        <f t="shared" si="1"/>
        <v>69.883647818529624</v>
      </c>
      <c r="Y15" s="4">
        <f t="shared" si="1"/>
        <v>67.506108522455037</v>
      </c>
      <c r="Z15" s="4">
        <f t="shared" si="1"/>
        <v>67.297535274227698</v>
      </c>
      <c r="AA15" s="4">
        <f t="shared" si="1"/>
        <v>67.088962026000345</v>
      </c>
      <c r="AB15" s="4">
        <f t="shared" si="1"/>
        <v>68.736044613043219</v>
      </c>
      <c r="AC15" s="4">
        <f t="shared" si="1"/>
        <v>70.383127200086093</v>
      </c>
      <c r="AD15" s="4">
        <f t="shared" si="1"/>
        <v>73.520809538578931</v>
      </c>
      <c r="AE15" s="4">
        <f t="shared" si="1"/>
        <v>76.658491877071754</v>
      </c>
      <c r="AF15" s="4">
        <f t="shared" si="1"/>
        <v>80.884877873958871</v>
      </c>
      <c r="AG15" s="4">
        <f t="shared" si="1"/>
        <v>85.111263870845988</v>
      </c>
      <c r="AH15" s="4">
        <f t="shared" si="1"/>
        <v>90.000074948392268</v>
      </c>
      <c r="AI15" s="4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opLeftCell="A19" zoomScale="80" zoomScaleNormal="80" workbookViewId="0">
      <selection activeCell="Y8" sqref="Y8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60</v>
      </c>
    </row>
    <row r="4" spans="1:36" x14ac:dyDescent="0.25">
      <c r="B4" s="1" t="s">
        <v>2</v>
      </c>
      <c r="C4" s="8">
        <f>(C8*C7*C2^2)/(2*C9)</f>
        <v>0.4333333333333334</v>
      </c>
      <c r="D4">
        <v>60.233333333333341</v>
      </c>
      <c r="G4" s="9">
        <f>C3/C4</f>
        <v>138.46153846153845</v>
      </c>
    </row>
    <row r="5" spans="1:36" x14ac:dyDescent="0.25">
      <c r="A5" s="5"/>
      <c r="B5" s="6"/>
      <c r="C5" s="6"/>
      <c r="D5" s="5"/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280.20114262798575</v>
      </c>
      <c r="H12" s="4">
        <v>260.57053452366904</v>
      </c>
      <c r="I12" s="4">
        <v>241.27335396752636</v>
      </c>
      <c r="J12" s="4">
        <v>222.46874067679317</v>
      </c>
      <c r="K12" s="4">
        <v>204.30702925674697</v>
      </c>
      <c r="L12" s="4">
        <v>186.92727013670742</v>
      </c>
      <c r="M12" s="4">
        <v>170.45510875086381</v>
      </c>
      <c r="N12" s="4">
        <v>155.00107463428773</v>
      </c>
      <c r="O12" s="4">
        <v>140.65931099015722</v>
      </c>
      <c r="P12" s="4">
        <v>127.5067536180474</v>
      </c>
      <c r="Q12" s="4">
        <v>115.60274732960713</v>
      </c>
      <c r="R12" s="4">
        <v>104.98906943559072</v>
      </c>
      <c r="S12" s="4">
        <v>95.690314648076594</v>
      </c>
      <c r="T12" s="4">
        <v>87.714584570723446</v>
      </c>
      <c r="U12" s="4">
        <v>81.054418255410752</v>
      </c>
      <c r="V12" s="4">
        <v>75.68789812172092</v>
      </c>
      <c r="W12" s="4">
        <v>71.579867553261167</v>
      </c>
      <c r="X12" s="4">
        <v>68.68320209085141</v>
      </c>
      <c r="Y12" s="4">
        <v>66.940084503407604</v>
      </c>
      <c r="Z12" s="4">
        <v>66.283244166503039</v>
      </c>
      <c r="AA12" s="4">
        <v>66.637132112902975</v>
      </c>
      <c r="AB12" s="4">
        <v>67.919013891339318</v>
      </c>
      <c r="AC12" s="4">
        <v>70.039972168091296</v>
      </c>
      <c r="AD12" s="4">
        <v>72.905819217013814</v>
      </c>
      <c r="AE12" s="4">
        <v>76.417925689672472</v>
      </c>
      <c r="AF12" s="4">
        <v>80.473976208137344</v>
      </c>
      <c r="AG12" s="4">
        <v>84.968664482862408</v>
      </c>
      <c r="AH12" s="4">
        <v>89.794341128753075</v>
      </c>
      <c r="AI12" s="4">
        <v>94.841626578966242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t="s">
        <v>8</v>
      </c>
      <c r="G14" s="4">
        <f t="shared" ref="G14:AH14" si="1">G18*H14+G19</f>
        <v>280.28451209215399</v>
      </c>
      <c r="H14" s="4">
        <f t="shared" si="1"/>
        <v>260.73576311264441</v>
      </c>
      <c r="I14" s="4">
        <f t="shared" si="1"/>
        <v>241.51747131108542</v>
      </c>
      <c r="J14" s="4">
        <f t="shared" si="1"/>
        <v>222.78741419664442</v>
      </c>
      <c r="K14" s="4">
        <f t="shared" si="1"/>
        <v>204.69470412190589</v>
      </c>
      <c r="L14" s="4">
        <f t="shared" si="1"/>
        <v>187.37734377748521</v>
      </c>
      <c r="M14" s="4">
        <f t="shared" si="1"/>
        <v>170.96013071462008</v>
      </c>
      <c r="N14" s="4">
        <f t="shared" si="1"/>
        <v>155.55296157926747</v>
      </c>
      <c r="O14" s="4">
        <f t="shared" si="1"/>
        <v>141.24956633387433</v>
      </c>
      <c r="P14" s="4">
        <f t="shared" si="1"/>
        <v>128.12668177591533</v>
      </c>
      <c r="Q14" s="4">
        <f t="shared" si="1"/>
        <v>116.24365353369214</v>
      </c>
      <c r="R14" s="4">
        <f t="shared" si="1"/>
        <v>105.64243769963892</v>
      </c>
      <c r="S14" s="4">
        <f t="shared" si="1"/>
        <v>96.347958393682063</v>
      </c>
      <c r="T14" s="4">
        <f t="shared" si="1"/>
        <v>88.368766578936132</v>
      </c>
      <c r="U14" s="4">
        <f t="shared" si="1"/>
        <v>81.697938780615559</v>
      </c>
      <c r="V14" s="4">
        <f t="shared" si="1"/>
        <v>76.314152032704555</v>
      </c>
      <c r="W14" s="4">
        <f t="shared" si="1"/>
        <v>72.182873106760752</v>
      </c>
      <c r="X14" s="4">
        <f t="shared" si="1"/>
        <v>69.257605287816148</v>
      </c>
      <c r="Y14" s="4">
        <f t="shared" si="1"/>
        <v>67.481143862800991</v>
      </c>
      <c r="Z14" s="4">
        <f t="shared" si="1"/>
        <v>66.786801156572579</v>
      </c>
      <c r="AA14" s="4">
        <f t="shared" si="1"/>
        <v>67.099572430483207</v>
      </c>
      <c r="AB14" s="4">
        <f t="shared" si="1"/>
        <v>68.337224339554268</v>
      </c>
      <c r="AC14" s="4">
        <f t="shared" si="1"/>
        <v>70.411297145055215</v>
      </c>
      <c r="AD14" s="4">
        <f t="shared" si="1"/>
        <v>73.228019904484</v>
      </c>
      <c r="AE14" s="4">
        <f t="shared" si="1"/>
        <v>76.689144038853158</v>
      </c>
      <c r="AF14" s="4">
        <f t="shared" si="1"/>
        <v>80.692704871583686</v>
      </c>
      <c r="AG14" s="4">
        <f t="shared" si="1"/>
        <v>85.13372303120687</v>
      </c>
      <c r="AH14" s="4">
        <f t="shared" si="1"/>
        <v>89.904858287518977</v>
      </c>
      <c r="AI14" s="4">
        <f>AI18*AJ14+AI19</f>
        <v>94.897027861362858</v>
      </c>
      <c r="AJ14" s="4">
        <f>AJ12</f>
        <v>100</v>
      </c>
    </row>
    <row r="15" spans="1:36" x14ac:dyDescent="0.25">
      <c r="B15" t="s">
        <v>13</v>
      </c>
      <c r="C15">
        <f>C9/(C2^2)</f>
        <v>4139999.9999999991</v>
      </c>
    </row>
    <row r="16" spans="1:36" x14ac:dyDescent="0.25">
      <c r="B16" t="s">
        <v>14</v>
      </c>
      <c r="C16">
        <f>(2*C9)/(C2^2)+(C8*C7)/C4</f>
        <v>16559999.999999996</v>
      </c>
      <c r="E16" t="s">
        <v>16</v>
      </c>
    </row>
    <row r="17" spans="2:35" x14ac:dyDescent="0.25">
      <c r="B17" t="s">
        <v>15</v>
      </c>
      <c r="C17">
        <f>C15</f>
        <v>4139999.9999999991</v>
      </c>
    </row>
    <row r="18" spans="2:35" x14ac:dyDescent="0.25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0.26794919243112236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</row>
    <row r="19" spans="2:35" x14ac:dyDescent="0.25">
      <c r="E19" t="s">
        <v>18</v>
      </c>
      <c r="F19">
        <f>F12</f>
        <v>300</v>
      </c>
      <c r="G19">
        <f>(F19*$C$17-G20)/($C$16-$C$17*F18)</f>
        <v>215.1005713139929</v>
      </c>
      <c r="H19">
        <f t="shared" ref="H19:AI19" si="3">(G19*$C$17-H20)/($C$16-$C$17*G18)</f>
        <v>196.33110409635498</v>
      </c>
      <c r="I19">
        <f t="shared" si="3"/>
        <v>181.84227107984137</v>
      </c>
      <c r="J19">
        <f t="shared" si="3"/>
        <v>167.94098629795192</v>
      </c>
      <c r="K19">
        <f t="shared" si="3"/>
        <v>154.48718508409254</v>
      </c>
      <c r="L19">
        <f t="shared" si="3"/>
        <v>141.56872063856261</v>
      </c>
      <c r="M19">
        <f t="shared" si="3"/>
        <v>129.27984065964515</v>
      </c>
      <c r="N19">
        <f t="shared" si="3"/>
        <v>117.70525437366356</v>
      </c>
      <c r="O19">
        <f t="shared" si="3"/>
        <v>106.91812542475377</v>
      </c>
      <c r="P19">
        <f t="shared" si="3"/>
        <v>96.979288686424511</v>
      </c>
      <c r="Q19">
        <f t="shared" si="3"/>
        <v>87.936847665625564</v>
      </c>
      <c r="R19">
        <f t="shared" si="3"/>
        <v>79.826080055664846</v>
      </c>
      <c r="S19">
        <f t="shared" si="3"/>
        <v>72.669618752721775</v>
      </c>
      <c r="T19">
        <f t="shared" si="3"/>
        <v>66.477869859382892</v>
      </c>
      <c r="U19">
        <f t="shared" si="3"/>
        <v>61.249623372386452</v>
      </c>
      <c r="V19">
        <f t="shared" si="3"/>
        <v>56.972809476389799</v>
      </c>
      <c r="W19">
        <f t="shared" si="3"/>
        <v>53.625353700176966</v>
      </c>
      <c r="X19">
        <f t="shared" si="3"/>
        <v>51.176087285450215</v>
      </c>
      <c r="Y19">
        <f t="shared" si="3"/>
        <v>49.585674427839393</v>
      </c>
      <c r="Z19">
        <f t="shared" si="3"/>
        <v>48.807524911350974</v>
      </c>
      <c r="AA19">
        <f t="shared" si="3"/>
        <v>48.788668355715174</v>
      </c>
      <c r="AB19">
        <f t="shared" si="3"/>
        <v>49.470574131508911</v>
      </c>
      <c r="AC19">
        <f t="shared" si="3"/>
        <v>50.789908348318555</v>
      </c>
      <c r="AD19">
        <f t="shared" si="3"/>
        <v>52.679225691039257</v>
      </c>
      <c r="AE19">
        <f t="shared" si="3"/>
        <v>55.067598933429394</v>
      </c>
      <c r="AF19">
        <f t="shared" si="3"/>
        <v>57.881192536716931</v>
      </c>
      <c r="AG19">
        <f t="shared" si="3"/>
        <v>61.043788857431636</v>
      </c>
      <c r="AH19">
        <f t="shared" si="3"/>
        <v>64.477276307953048</v>
      </c>
      <c r="AI19">
        <f t="shared" si="3"/>
        <v>68.102108618250597</v>
      </c>
    </row>
    <row r="20" spans="2:35" x14ac:dyDescent="0.25">
      <c r="E20" t="s">
        <v>19</v>
      </c>
      <c r="F20">
        <f>-(($C$8*$C$7)/$C$4)*F12</f>
        <v>-2483999999.9999995</v>
      </c>
      <c r="G20">
        <f t="shared" ref="G20:AI20" si="4">-(($C$8*$C$7)/$C$4)*G12</f>
        <v>-2320065460.9597216</v>
      </c>
      <c r="H20">
        <f t="shared" si="4"/>
        <v>-2157524025.8559794</v>
      </c>
      <c r="I20">
        <f t="shared" si="4"/>
        <v>-1997743370.8511181</v>
      </c>
      <c r="J20">
        <f t="shared" si="4"/>
        <v>-1842041172.8038473</v>
      </c>
      <c r="K20">
        <f t="shared" si="4"/>
        <v>-1691662202.2458646</v>
      </c>
      <c r="L20">
        <f t="shared" si="4"/>
        <v>-1547757796.7319372</v>
      </c>
      <c r="M20">
        <f t="shared" si="4"/>
        <v>-1411368300.4571521</v>
      </c>
      <c r="N20">
        <f t="shared" si="4"/>
        <v>-1283408897.9719024</v>
      </c>
      <c r="O20">
        <f t="shared" si="4"/>
        <v>-1164659094.9985018</v>
      </c>
      <c r="P20">
        <f t="shared" si="4"/>
        <v>-1055755919.9574324</v>
      </c>
      <c r="Q20">
        <f t="shared" si="4"/>
        <v>-957190747.88914692</v>
      </c>
      <c r="R20">
        <f t="shared" si="4"/>
        <v>-869309494.92669106</v>
      </c>
      <c r="S20">
        <f t="shared" si="4"/>
        <v>-792315805.28607416</v>
      </c>
      <c r="T20">
        <f t="shared" si="4"/>
        <v>-726276760.24559009</v>
      </c>
      <c r="U20">
        <f t="shared" si="4"/>
        <v>-671130583.15480101</v>
      </c>
      <c r="V20">
        <f t="shared" si="4"/>
        <v>-626695796.44784915</v>
      </c>
      <c r="W20">
        <f t="shared" si="4"/>
        <v>-592681303.34100235</v>
      </c>
      <c r="X20">
        <f t="shared" si="4"/>
        <v>-568696913.31224966</v>
      </c>
      <c r="Y20">
        <f t="shared" si="4"/>
        <v>-554263899.6882149</v>
      </c>
      <c r="Z20">
        <f t="shared" si="4"/>
        <v>-548825261.69864511</v>
      </c>
      <c r="AA20">
        <f t="shared" si="4"/>
        <v>-551755453.89483654</v>
      </c>
      <c r="AB20">
        <f t="shared" si="4"/>
        <v>-562369435.02028954</v>
      </c>
      <c r="AC20">
        <f t="shared" si="4"/>
        <v>-579930969.55179584</v>
      </c>
      <c r="AD20">
        <f t="shared" si="4"/>
        <v>-603660183.11687434</v>
      </c>
      <c r="AE20">
        <f t="shared" si="4"/>
        <v>-632740424.71048796</v>
      </c>
      <c r="AF20">
        <f t="shared" si="4"/>
        <v>-666324523.00337708</v>
      </c>
      <c r="AG20">
        <f t="shared" si="4"/>
        <v>-703540541.91810071</v>
      </c>
      <c r="AH20">
        <f t="shared" si="4"/>
        <v>-743497144.54607534</v>
      </c>
      <c r="AI20">
        <f t="shared" si="4"/>
        <v>-785288668.07384038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Мсс</dc:subject>
  <dc:creator>Safiullov Ruslan</dc:creator>
  <cp:lastModifiedBy>Алина</cp:lastModifiedBy>
  <dcterms:created xsi:type="dcterms:W3CDTF">2021-09-07T10:42:55Z</dcterms:created>
  <dcterms:modified xsi:type="dcterms:W3CDTF">2021-10-18T18:20:21Z</dcterms:modified>
</cp:coreProperties>
</file>